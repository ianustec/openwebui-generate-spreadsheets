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P&amp;L" sheetId="2" state="visible" r:id="rId2"/>
    <sheet name="By segment" sheetId="3" state="visible" r:id="rId3"/>
    <sheet name="Pipeline" sheetId="4" state="visible" r:id="rId4"/>
    <sheet name="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$#,##0;($#,##0);&quot;-&quot;"/>
    <numFmt numFmtId="166" formatCode="yyyy-mm-dd"/>
    <numFmt numFmtId="167" formatCode="YYYY-MM-DD"/>
  </numFmts>
  <fonts count="14">
    <font>
      <name val="Calibri"/>
      <family val="2"/>
      <color theme="1"/>
      <sz val="11"/>
      <scheme val="minor"/>
    </font>
    <font>
      <name val="Calibri"/>
      <b val="1"/>
      <color rgb="001E3A5F"/>
      <sz val="16"/>
    </font>
    <font>
      <name val="Calibri"/>
      <i val="1"/>
      <color rgb="006B7280"/>
      <sz val="9"/>
    </font>
    <font>
      <name val="Calibri"/>
      <b val="1"/>
      <color rgb="00FFFFFF"/>
      <sz val="11"/>
    </font>
    <font>
      <name val="Calibri"/>
      <color rgb="000000FF"/>
      <sz val="11"/>
    </font>
    <font>
      <name val="Calibri"/>
      <color rgb="001F2430"/>
      <sz val="11"/>
    </font>
    <font>
      <name val="Calibri"/>
      <color rgb="00000000"/>
      <sz val="11"/>
    </font>
    <font>
      <name val="Calibri"/>
      <b val="1"/>
      <color rgb="001F2430"/>
      <sz val="11"/>
    </font>
    <font>
      <name val="Calibri"/>
      <b val="1"/>
      <color rgb="00000000"/>
      <sz val="11"/>
    </font>
    <font>
      <name val="Calibri"/>
      <b val="1"/>
      <color rgb="006B7280"/>
      <sz val="9"/>
    </font>
    <font>
      <name val="Calibri"/>
      <b val="1"/>
      <color rgb="001E3A5F"/>
      <sz val="18"/>
    </font>
    <font>
      <name val="Calibri"/>
      <color rgb="006B7280"/>
      <sz val="9"/>
    </font>
    <font>
      <name val="Calibri"/>
      <b val="1"/>
      <color rgb="001E40AF"/>
      <sz val="11"/>
    </font>
    <font>
      <name val="Calibri"/>
      <color rgb="001E40AF"/>
      <sz val="11"/>
    </font>
  </fonts>
  <fills count="6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F00"/>
      </patternFill>
    </fill>
    <fill>
      <patternFill patternType="solid">
        <fgColor rgb="00F3F6FA"/>
      </patternFill>
    </fill>
    <fill>
      <patternFill patternType="solid">
        <fgColor rgb="00DBEAFE"/>
      </patternFill>
    </fill>
  </fills>
  <borders count="3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C9D1D9"/>
      </left>
      <right style="thin">
        <color rgb="00C9D1D9"/>
      </right>
      <top style="thin">
        <color rgb="00C9D1D9"/>
      </top>
      <bottom style="thin">
        <color rgb="00C9D1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5" fillId="0" borderId="2" applyAlignment="1" pivotButton="0" quotePrefix="0" xfId="0">
      <alignment horizontal="left" vertical="center" wrapText="1"/>
    </xf>
    <xf numFmtId="164" fontId="4" fillId="3" borderId="2" applyAlignment="1" pivotButton="0" quotePrefix="0" xfId="0">
      <alignment horizontal="right" vertical="center"/>
    </xf>
    <xf numFmtId="165" fontId="4" fillId="3" borderId="2" applyAlignment="1" pivotButton="0" quotePrefix="0" xfId="0">
      <alignment horizontal="right" vertical="center"/>
    </xf>
    <xf numFmtId="3" fontId="4" fillId="3" borderId="2" applyAlignment="1" pivotButton="0" quotePrefix="0" xfId="0">
      <alignment horizontal="right" vertical="center"/>
    </xf>
    <xf numFmtId="0" fontId="3" fillId="2" borderId="2" applyAlignment="1" pivotButton="0" quotePrefix="0" xfId="0">
      <alignment horizontal="center" vertical="center" wrapText="1"/>
    </xf>
    <xf numFmtId="49" fontId="5" fillId="0" borderId="2" applyAlignment="1" pivotButton="0" quotePrefix="0" xfId="0">
      <alignment horizontal="left" vertical="center" wrapText="1"/>
    </xf>
    <xf numFmtId="165" fontId="5" fillId="0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49" fontId="5" fillId="4" borderId="2" applyAlignment="1" pivotButton="0" quotePrefix="0" xfId="0">
      <alignment horizontal="left" vertical="center" wrapText="1"/>
    </xf>
    <xf numFmtId="165" fontId="5" fillId="4" borderId="2" applyAlignment="1" pivotButton="0" quotePrefix="0" xfId="0">
      <alignment horizontal="right" vertical="center"/>
    </xf>
    <xf numFmtId="165" fontId="6" fillId="4" borderId="2" applyAlignment="1" pivotButton="0" quotePrefix="0" xfId="0">
      <alignment horizontal="right" vertical="center"/>
    </xf>
    <xf numFmtId="49" fontId="7" fillId="4" borderId="2" applyAlignment="1" pivotButton="0" quotePrefix="0" xfId="0">
      <alignment horizontal="left" vertical="center" wrapText="1"/>
    </xf>
    <xf numFmtId="165" fontId="8" fillId="4" borderId="2" applyAlignment="1" pivotButton="0" quotePrefix="0" xfId="0">
      <alignment horizontal="right" vertical="center"/>
    </xf>
    <xf numFmtId="164" fontId="5" fillId="0" borderId="2" applyAlignment="1" pivotButton="0" quotePrefix="0" xfId="0">
      <alignment horizontal="right" vertical="center"/>
    </xf>
    <xf numFmtId="167" fontId="5" fillId="0" borderId="2" applyAlignment="1" pivotButton="0" quotePrefix="0" xfId="0">
      <alignment horizontal="left" vertical="center" wrapText="1"/>
    </xf>
    <xf numFmtId="164" fontId="5" fillId="4" borderId="2" applyAlignment="1" pivotButton="0" quotePrefix="0" xfId="0">
      <alignment horizontal="right" vertical="center"/>
    </xf>
    <xf numFmtId="167" fontId="5" fillId="4" borderId="2" applyAlignment="1" pivotButton="0" quotePrefix="0" xfId="0">
      <alignment horizontal="left" vertical="center" wrapText="1"/>
    </xf>
    <xf numFmtId="49" fontId="7" fillId="4" borderId="2" applyAlignment="1" pivotButton="0" quotePrefix="0" xfId="0">
      <alignment horizontal="right" vertical="center"/>
    </xf>
    <xf numFmtId="164" fontId="7" fillId="4" borderId="2" applyAlignment="1" pivotButton="0" quotePrefix="0" xfId="0">
      <alignment horizontal="right" vertical="center"/>
    </xf>
    <xf numFmtId="167" fontId="7" fillId="4" borderId="2" applyAlignment="1" pivotButton="0" quotePrefix="0" xfId="0">
      <alignment horizontal="right" vertical="center"/>
    </xf>
    <xf numFmtId="0" fontId="9" fillId="4" borderId="2" pivotButton="0" quotePrefix="0" xfId="0"/>
    <xf numFmtId="165" fontId="10" fillId="4" borderId="2" pivotButton="0" quotePrefix="0" xfId="0"/>
    <xf numFmtId="164" fontId="10" fillId="4" borderId="2" pivotButton="0" quotePrefix="0" xfId="0"/>
    <xf numFmtId="3" fontId="10" fillId="4" borderId="2" pivotButton="0" quotePrefix="0" xfId="0"/>
    <xf numFmtId="0" fontId="11" fillId="4" borderId="2" pivotButton="0" quotePrefix="0" xfId="0"/>
    <xf numFmtId="0" fontId="12" fillId="5" borderId="0" pivotButton="0" quotePrefix="0" xfId="0"/>
    <xf numFmtId="0" fontId="13" fillId="5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by quarter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'Dashboard'!AO7</f>
            </strRef>
          </tx>
          <spPr>
            <a:ln>
              <a:prstDash val="solid"/>
            </a:ln>
          </spPr>
          <cat>
            <numRef>
              <f>'Dashboard'!$AN$8:$AN$11</f>
            </numRef>
          </cat>
          <val>
            <numRef>
              <f>'Dashboard'!$AO$8:$AO$11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FY mix by segment</a:t>
            </a:r>
          </a:p>
        </rich>
      </tx>
    </title>
    <plotArea>
      <doughnutChart>
        <varyColors val="1"/>
        <ser>
          <idx val="0"/>
          <order val="0"/>
          <tx>
            <strRef>
              <f>'Dashboard'!AO23</f>
            </strRef>
          </tx>
          <spPr>
            <a:ln>
              <a:prstDash val="solid"/>
            </a:ln>
          </spPr>
          <cat>
            <numRef>
              <f>'Dashboard'!$AN$24:$AN$27</f>
            </numRef>
          </cat>
          <val>
            <numRef>
              <f>'Dashboard'!$AO$24:$AO$27</f>
            </numRef>
          </val>
        </ser>
        <dLbls>
          <showVal val="0"/>
          <showCatName val="0"/>
          <showPercent val="1"/>
        </dLbls>
        <firstSliceAng val="0"/>
        <holeSize val="50"/>
      </doughnutChart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Assumptions</author>
  </authors>
  <commentList>
    <comment ref="B6" authorId="0" shapeId="0">
      <text>
        <t>Source: board pack Q4 FY2025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7</row>
      <rowOff>0</rowOff>
    </from>
    <ext cx="43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nL" displayName="PnL" ref="A3:F12" headerRowCount="1">
  <autoFilter ref="A3:F12"/>
  <tableColumns count="6">
    <tableColumn id="1" name="Line item"/>
    <tableColumn id="2" name="Q1"/>
    <tableColumn id="3" name="Q2"/>
    <tableColumn id="4" name="Q3"/>
    <tableColumn id="5" name="Q4"/>
    <tableColumn id="6" name="FY Tot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By_segment" displayName="By_segment" ref="A3:F7" headerRowCount="1">
  <autoFilter ref="A3:F7"/>
  <tableColumns count="6">
    <tableColumn id="1" name="Segment"/>
    <tableColumn id="2" name="Q1"/>
    <tableColumn id="3" name="Q2"/>
    <tableColumn id="4" name="Q3"/>
    <tableColumn id="5" name="Q4"/>
    <tableColumn id="6" name="F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ipeline" displayName="Pipeline" ref="A3:G10" headerRowCount="1">
  <autoFilter ref="A3:G10"/>
  <tableColumns count="7">
    <tableColumn id="1" name="Opportunity"/>
    <tableColumn id="2" name="Owner"/>
    <tableColumn id="3" name="Stage"/>
    <tableColumn id="4" name="Amount"/>
    <tableColumn id="5" name="Win %"/>
    <tableColumn id="6" name="Weighted"/>
    <tableColumn id="7" name="Clo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D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  <col width="40" customWidth="1" min="4" max="4"/>
  </cols>
  <sheetData>
    <row r="1">
      <c r="A1" s="1" t="inlineStr">
        <is>
          <t>Planning assumptions</t>
        </is>
      </c>
    </row>
    <row r="3">
      <c r="A3" s="2" t="inlineStr">
        <is>
          <t>Yellow cells with blue text are editable inputs. Downstream sheets reference these values with formulas.</t>
        </is>
      </c>
    </row>
    <row r="5">
      <c r="A5" s="3" t="inlineStr">
        <is>
          <t>Parameter</t>
        </is>
      </c>
      <c r="B5" s="3" t="inlineStr">
        <is>
          <t>Value</t>
        </is>
      </c>
      <c r="C5" s="3" t="inlineStr">
        <is>
          <t>Unit</t>
        </is>
      </c>
      <c r="D5" s="3" t="inlineStr">
        <is>
          <t>Notes</t>
        </is>
      </c>
    </row>
    <row r="6">
      <c r="A6" s="4" t="inlineStr">
        <is>
          <t>Revenue growth YoY</t>
        </is>
      </c>
      <c r="B6" s="5" t="n">
        <v>0.12</v>
      </c>
      <c r="C6" s="4" t="inlineStr">
        <is>
          <t>%</t>
        </is>
      </c>
      <c r="D6" s="4" t="inlineStr">
        <is>
          <t>Base case</t>
        </is>
      </c>
    </row>
    <row r="7">
      <c r="A7" s="4" t="inlineStr">
        <is>
          <t>Gross margin target</t>
        </is>
      </c>
      <c r="B7" s="5" t="n">
        <v>0.58</v>
      </c>
      <c r="C7" s="4" t="inlineStr">
        <is>
          <t>%</t>
        </is>
      </c>
      <c r="D7" s="4" t="n"/>
    </row>
    <row r="8">
      <c r="A8" s="4" t="inlineStr">
        <is>
          <t>Effective tax rate</t>
        </is>
      </c>
      <c r="B8" s="5" t="n">
        <v>0.24</v>
      </c>
      <c r="C8" s="4" t="inlineStr">
        <is>
          <t>%</t>
        </is>
      </c>
      <c r="D8" s="4" t="n"/>
    </row>
    <row r="9">
      <c r="A9" s="4" t="inlineStr">
        <is>
          <t>Avg billable day rate</t>
        </is>
      </c>
      <c r="B9" s="6" t="n">
        <v>850</v>
      </c>
      <c r="C9" s="4" t="inlineStr">
        <is>
          <t>USD</t>
        </is>
      </c>
      <c r="D9" s="4" t="n"/>
    </row>
    <row r="10">
      <c r="A10" s="4" t="inlineStr">
        <is>
          <t>Billable days / FTE / year</t>
        </is>
      </c>
      <c r="B10" s="7" t="n">
        <v>180</v>
      </c>
      <c r="C10" s="4" t="inlineStr">
        <is>
          <t>days</t>
        </is>
      </c>
      <c r="D10" s="4" t="n"/>
    </row>
    <row r="11">
      <c r="A11" s="4" t="inlineStr">
        <is>
          <t>Headcount (end of year)</t>
        </is>
      </c>
      <c r="B11" s="7" t="n">
        <v>48</v>
      </c>
      <c r="C11" s="4" t="inlineStr">
        <is>
          <t>FTE</t>
        </is>
      </c>
      <c r="D11" s="4" t="n"/>
    </row>
    <row r="12">
      <c r="A12" s="4" t="inlineStr">
        <is>
          <t>Fixed OpEx / month</t>
        </is>
      </c>
      <c r="B12" s="6" t="n">
        <v>42000</v>
      </c>
      <c r="C12" s="4" t="inlineStr">
        <is>
          <t>USD</t>
        </is>
      </c>
      <c r="D12" s="4" t="n"/>
    </row>
  </sheetData>
  <mergeCells count="2">
    <mergeCell ref="A1:C1"/>
    <mergeCell ref="A3:D3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4" customWidth="1" min="6" max="6"/>
  </cols>
  <sheetData>
    <row r="1">
      <c r="A1" s="1" t="inlineStr">
        <is>
          <t>Consolidated P&amp;L — quarterly</t>
        </is>
      </c>
    </row>
    <row r="3" ht="22" customHeight="1">
      <c r="A3" s="8" t="inlineStr">
        <is>
          <t>Line item</t>
        </is>
      </c>
      <c r="B3" s="8" t="inlineStr">
        <is>
          <t>Q1</t>
        </is>
      </c>
      <c r="C3" s="8" t="inlineStr">
        <is>
          <t>Q2</t>
        </is>
      </c>
      <c r="D3" s="8" t="inlineStr">
        <is>
          <t>Q3</t>
        </is>
      </c>
      <c r="E3" s="8" t="inlineStr">
        <is>
          <t>Q4</t>
        </is>
      </c>
      <c r="F3" s="8" t="inlineStr">
        <is>
          <t>FY Total</t>
        </is>
      </c>
    </row>
    <row r="4">
      <c r="A4" s="9" t="inlineStr">
        <is>
          <t>Software &amp; platform revenue</t>
        </is>
      </c>
      <c r="B4" s="10" t="n">
        <v>420000</v>
      </c>
      <c r="C4" s="10" t="n">
        <v>455000</v>
      </c>
      <c r="D4" s="10" t="n">
        <v>510000</v>
      </c>
      <c r="E4" s="10" t="n">
        <v>580000</v>
      </c>
      <c r="F4" s="11">
        <f>SUM(B4:E4)</f>
        <v/>
      </c>
    </row>
    <row r="5">
      <c r="A5" s="12" t="inlineStr">
        <is>
          <t>Professional services</t>
        </is>
      </c>
      <c r="B5" s="13" t="n">
        <v>185000</v>
      </c>
      <c r="C5" s="13" t="n">
        <v>198000</v>
      </c>
      <c r="D5" s="13" t="n">
        <v>215000</v>
      </c>
      <c r="E5" s="13" t="n">
        <v>240000</v>
      </c>
      <c r="F5" s="14">
        <f>SUM(B5:E5)</f>
        <v/>
      </c>
    </row>
    <row r="6">
      <c r="A6" s="9" t="inlineStr">
        <is>
          <t>Marketplace &amp; licenses</t>
        </is>
      </c>
      <c r="B6" s="10" t="n">
        <v>62000</v>
      </c>
      <c r="C6" s="10" t="n">
        <v>71000</v>
      </c>
      <c r="D6" s="10" t="n">
        <v>78000</v>
      </c>
      <c r="E6" s="10" t="n">
        <v>92000</v>
      </c>
      <c r="F6" s="11">
        <f>SUM(B6:E6)</f>
        <v/>
      </c>
    </row>
    <row r="7">
      <c r="A7" s="12" t="inlineStr">
        <is>
          <t>Cost of delivery</t>
        </is>
      </c>
      <c r="B7" s="13" t="n">
        <v>-210000</v>
      </c>
      <c r="C7" s="13" t="n">
        <v>-225000</v>
      </c>
      <c r="D7" s="13" t="n">
        <v>-248000</v>
      </c>
      <c r="E7" s="13" t="n">
        <v>-275000</v>
      </c>
      <c r="F7" s="14">
        <f>SUM(B7:E7)</f>
        <v/>
      </c>
    </row>
    <row r="8">
      <c r="A8" s="9" t="inlineStr">
        <is>
          <t>Cloud infrastructure</t>
        </is>
      </c>
      <c r="B8" s="10" t="n">
        <v>-48000</v>
      </c>
      <c r="C8" s="10" t="n">
        <v>-51000</v>
      </c>
      <c r="D8" s="10" t="n">
        <v>-55000</v>
      </c>
      <c r="E8" s="10" t="n">
        <v>-61000</v>
      </c>
      <c r="F8" s="11">
        <f>SUM(B8:E8)</f>
        <v/>
      </c>
    </row>
    <row r="9">
      <c r="A9" s="12" t="inlineStr">
        <is>
          <t>Sales &amp; marketing</t>
        </is>
      </c>
      <c r="B9" s="13" t="n">
        <v>-95000</v>
      </c>
      <c r="C9" s="13" t="n">
        <v>-102000</v>
      </c>
      <c r="D9" s="13" t="n">
        <v>-118000</v>
      </c>
      <c r="E9" s="13" t="n">
        <v>-130000</v>
      </c>
      <c r="F9" s="14">
        <f>SUM(B9:E9)</f>
        <v/>
      </c>
    </row>
    <row r="10">
      <c r="A10" s="9" t="inlineStr">
        <is>
          <t>R&amp;D / product</t>
        </is>
      </c>
      <c r="B10" s="10" t="n">
        <v>-140000</v>
      </c>
      <c r="C10" s="10" t="n">
        <v>-145000</v>
      </c>
      <c r="D10" s="10" t="n">
        <v>-152000</v>
      </c>
      <c r="E10" s="10" t="n">
        <v>-160000</v>
      </c>
      <c r="F10" s="11">
        <f>SUM(B10:E10)</f>
        <v/>
      </c>
    </row>
    <row r="11">
      <c r="A11" s="12" t="inlineStr">
        <is>
          <t>G&amp;A</t>
        </is>
      </c>
      <c r="B11" s="13" t="n">
        <v>-72000</v>
      </c>
      <c r="C11" s="13" t="n">
        <v>-74000</v>
      </c>
      <c r="D11" s="13" t="n">
        <v>-76000</v>
      </c>
      <c r="E11" s="13" t="n">
        <v>-78000</v>
      </c>
      <c r="F11" s="14">
        <f>SUM(B11:E11)</f>
        <v/>
      </c>
    </row>
    <row r="12">
      <c r="A12" s="9" t="inlineStr">
        <is>
          <t>Depreciation &amp; amortisation</t>
        </is>
      </c>
      <c r="B12" s="10" t="n">
        <v>-18000</v>
      </c>
      <c r="C12" s="10" t="n">
        <v>-18000</v>
      </c>
      <c r="D12" s="10" t="n">
        <v>-19000</v>
      </c>
      <c r="E12" s="10" t="n">
        <v>-19000</v>
      </c>
      <c r="F12" s="11">
        <f>SUM(B12:E12)</f>
        <v/>
      </c>
    </row>
    <row r="13">
      <c r="A13" s="15" t="inlineStr">
        <is>
          <t>Total</t>
        </is>
      </c>
      <c r="B13" s="16">
        <f>SUM(B4:B12)</f>
        <v/>
      </c>
      <c r="C13" s="16">
        <f>SUM(C4:C12)</f>
        <v/>
      </c>
      <c r="D13" s="16">
        <f>SUM(D4:D12)</f>
        <v/>
      </c>
      <c r="E13" s="16">
        <f>SUM(E4:E12)</f>
        <v/>
      </c>
      <c r="F13" s="16">
        <f>SUM(F4:F12)</f>
        <v/>
      </c>
    </row>
  </sheetData>
  <mergeCells count="1">
    <mergeCell ref="A1:F1"/>
  </mergeCells>
  <conditionalFormatting sqref="B4:B12">
    <cfRule type="dataBar" priority="1">
      <dataBar showValue="1">
        <cfvo type="min"/>
        <cfvo type="max"/>
        <color rgb="001E3A5F"/>
      </dataBar>
    </cfRule>
  </conditionalFormatting>
  <conditionalFormatting sqref="C4:C12">
    <cfRule type="dataBar" priority="2">
      <dataBar showValue="1">
        <cfvo type="min"/>
        <cfvo type="max"/>
        <color rgb="001E3A5F"/>
      </dataBar>
    </cfRule>
  </conditionalFormatting>
  <conditionalFormatting sqref="D4:D12">
    <cfRule type="dataBar" priority="3">
      <dataBar showValue="1">
        <cfvo type="min"/>
        <cfvo type="max"/>
        <color rgb="001E3A5F"/>
      </dataBar>
    </cfRule>
  </conditionalFormatting>
  <conditionalFormatting sqref="E4:E12">
    <cfRule type="dataBar" priority="4">
      <dataBar showValue="1">
        <cfvo type="min"/>
        <cfvo type="max"/>
        <color rgb="001E3A5F"/>
      </dataBar>
    </cfRule>
  </conditionalFormatting>
  <conditionalFormatting sqref="F4:F12">
    <cfRule type="dataBar" priority="5">
      <dataBar showValue="1">
        <cfvo type="min"/>
        <cfvo type="max"/>
        <color rgb="002E7D32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>
      <c r="A1" s="1" t="inlineStr">
        <is>
          <t>Revenue by segment × quarter</t>
        </is>
      </c>
    </row>
    <row r="3" ht="22" customHeight="1">
      <c r="A3" s="8" t="inlineStr">
        <is>
          <t>Segment</t>
        </is>
      </c>
      <c r="B3" s="8" t="inlineStr">
        <is>
          <t>Q1</t>
        </is>
      </c>
      <c r="C3" s="8" t="inlineStr">
        <is>
          <t>Q2</t>
        </is>
      </c>
      <c r="D3" s="8" t="inlineStr">
        <is>
          <t>Q3</t>
        </is>
      </c>
      <c r="E3" s="8" t="inlineStr">
        <is>
          <t>Q4</t>
        </is>
      </c>
      <c r="F3" s="8" t="inlineStr">
        <is>
          <t>FY</t>
        </is>
      </c>
    </row>
    <row r="4">
      <c r="A4" s="9" t="inlineStr">
        <is>
          <t>Enterprise</t>
        </is>
      </c>
      <c r="B4" s="10" t="n">
        <v>310000</v>
      </c>
      <c r="C4" s="10" t="n">
        <v>335000</v>
      </c>
      <c r="D4" s="10" t="n">
        <v>380000</v>
      </c>
      <c r="E4" s="10" t="n">
        <v>425000</v>
      </c>
      <c r="F4" s="11">
        <f>SUM(B4:E4)</f>
        <v/>
      </c>
    </row>
    <row r="5">
      <c r="A5" s="12" t="inlineStr">
        <is>
          <t>Mid-market</t>
        </is>
      </c>
      <c r="B5" s="13" t="n">
        <v>215000</v>
      </c>
      <c r="C5" s="13" t="n">
        <v>238000</v>
      </c>
      <c r="D5" s="13" t="n">
        <v>265000</v>
      </c>
      <c r="E5" s="13" t="n">
        <v>298000</v>
      </c>
      <c r="F5" s="14">
        <f>SUM(B5:E5)</f>
        <v/>
      </c>
    </row>
    <row r="6">
      <c r="A6" s="9" t="inlineStr">
        <is>
          <t>SMB / self-serve</t>
        </is>
      </c>
      <c r="B6" s="10" t="n">
        <v>92000</v>
      </c>
      <c r="C6" s="10" t="n">
        <v>101000</v>
      </c>
      <c r="D6" s="10" t="n">
        <v>112000</v>
      </c>
      <c r="E6" s="10" t="n">
        <v>128000</v>
      </c>
      <c r="F6" s="11">
        <f>SUM(B6:E6)</f>
        <v/>
      </c>
    </row>
    <row r="7">
      <c r="A7" s="12" t="inlineStr">
        <is>
          <t>Partner channel</t>
        </is>
      </c>
      <c r="B7" s="13" t="n">
        <v>50000</v>
      </c>
      <c r="C7" s="13" t="n">
        <v>50000</v>
      </c>
      <c r="D7" s="13" t="n">
        <v>46000</v>
      </c>
      <c r="E7" s="13" t="n">
        <v>61000</v>
      </c>
      <c r="F7" s="14">
        <f>SUM(B7:E7)</f>
        <v/>
      </c>
    </row>
  </sheetData>
  <mergeCells count="1">
    <mergeCell ref="A1:F1"/>
  </mergeCells>
  <conditionalFormatting sqref="B4:B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4:C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4:D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4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4:F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2" customWidth="1" min="4" max="4"/>
    <col width="10" customWidth="1" min="5" max="5"/>
    <col width="12" customWidth="1" min="6" max="6"/>
    <col width="12" customWidth="1" min="7" max="7"/>
  </cols>
  <sheetData>
    <row r="1">
      <c r="A1" s="1" t="inlineStr">
        <is>
          <t>Sales pipeline — weighted</t>
        </is>
      </c>
    </row>
    <row r="3" ht="22" customHeight="1">
      <c r="A3" s="8" t="inlineStr">
        <is>
          <t>Opportunity</t>
        </is>
      </c>
      <c r="B3" s="8" t="inlineStr">
        <is>
          <t>Owner</t>
        </is>
      </c>
      <c r="C3" s="8" t="inlineStr">
        <is>
          <t>Stage</t>
        </is>
      </c>
      <c r="D3" s="8" t="inlineStr">
        <is>
          <t>Amount</t>
        </is>
      </c>
      <c r="E3" s="8" t="inlineStr">
        <is>
          <t>Win %</t>
        </is>
      </c>
      <c r="F3" s="8" t="inlineStr">
        <is>
          <t>Weighted</t>
        </is>
      </c>
      <c r="G3" s="8" t="inlineStr">
        <is>
          <t>Close</t>
        </is>
      </c>
    </row>
    <row r="4">
      <c r="A4" s="9" t="inlineStr">
        <is>
          <t>Acme Corp — platform rollout</t>
        </is>
      </c>
      <c r="B4" s="9" t="inlineStr">
        <is>
          <t>M. Chen</t>
        </is>
      </c>
      <c r="C4" s="9" t="inlineStr">
        <is>
          <t>Negotiate</t>
        </is>
      </c>
      <c r="D4" s="10" t="n">
        <v>280000</v>
      </c>
      <c r="E4" s="17" t="n">
        <v>0.7</v>
      </c>
      <c r="F4" s="11">
        <f>D4*E4</f>
        <v/>
      </c>
      <c r="G4" s="18" t="n">
        <v>46127</v>
      </c>
    </row>
    <row r="5">
      <c r="A5" s="12" t="inlineStr">
        <is>
          <t>Globex AI copilot suite</t>
        </is>
      </c>
      <c r="B5" s="12" t="inlineStr">
        <is>
          <t>J. Patel</t>
        </is>
      </c>
      <c r="C5" s="12" t="inlineStr">
        <is>
          <t>Proposal</t>
        </is>
      </c>
      <c r="D5" s="13" t="n">
        <v>145000</v>
      </c>
      <c r="E5" s="19" t="n">
        <v>0.45</v>
      </c>
      <c r="F5" s="14">
        <f>D5*E5</f>
        <v/>
      </c>
      <c r="G5" s="20" t="n">
        <v>46172</v>
      </c>
    </row>
    <row r="6">
      <c r="A6" s="9" t="inlineStr">
        <is>
          <t>Initech multi-year MSA</t>
        </is>
      </c>
      <c r="B6" s="9" t="inlineStr">
        <is>
          <t>M. Chen</t>
        </is>
      </c>
      <c r="C6" s="9" t="inlineStr">
        <is>
          <t>Qualify</t>
        </is>
      </c>
      <c r="D6" s="10" t="n">
        <v>420000</v>
      </c>
      <c r="E6" s="17" t="n">
        <v>0.25</v>
      </c>
      <c r="F6" s="11">
        <f>D6*E6</f>
        <v/>
      </c>
      <c r="G6" s="18" t="n">
        <v>46235</v>
      </c>
    </row>
    <row r="7">
      <c r="A7" s="12" t="inlineStr">
        <is>
          <t>Umbrella regional expansion</t>
        </is>
      </c>
      <c r="B7" s="12" t="inlineStr">
        <is>
          <t>S. Okonkwo</t>
        </is>
      </c>
      <c r="C7" s="12" t="inlineStr">
        <is>
          <t>Negotiate</t>
        </is>
      </c>
      <c r="D7" s="13" t="n">
        <v>96000</v>
      </c>
      <c r="E7" s="19" t="n">
        <v>0.65</v>
      </c>
      <c r="F7" s="14">
        <f>D7*E7</f>
        <v/>
      </c>
      <c r="G7" s="20" t="n">
        <v>46101</v>
      </c>
    </row>
    <row r="8">
      <c r="A8" s="9" t="inlineStr">
        <is>
          <t>Stark Industries SOC2 pack</t>
        </is>
      </c>
      <c r="B8" s="9" t="inlineStr">
        <is>
          <t>J. Patel</t>
        </is>
      </c>
      <c r="C8" s="9" t="inlineStr">
        <is>
          <t>Closed Won</t>
        </is>
      </c>
      <c r="D8" s="10" t="n">
        <v>72000</v>
      </c>
      <c r="E8" s="17" t="n">
        <v>1</v>
      </c>
      <c r="F8" s="11">
        <f>D8*E8</f>
        <v/>
      </c>
      <c r="G8" s="18" t="n">
        <v>46063</v>
      </c>
    </row>
    <row r="9">
      <c r="A9" s="12" t="inlineStr">
        <is>
          <t>Wayne Health LLM pilot</t>
        </is>
      </c>
      <c r="B9" s="12" t="inlineStr">
        <is>
          <t>S. Okonkwo</t>
        </is>
      </c>
      <c r="C9" s="12" t="inlineStr">
        <is>
          <t>Proposal</t>
        </is>
      </c>
      <c r="D9" s="13" t="n">
        <v>118000</v>
      </c>
      <c r="E9" s="19" t="n">
        <v>0.4</v>
      </c>
      <c r="F9" s="14">
        <f>D9*E9</f>
        <v/>
      </c>
      <c r="G9" s="20" t="n">
        <v>46188</v>
      </c>
    </row>
    <row r="10">
      <c r="A10" s="9" t="inlineStr">
        <is>
          <t>Oscorp data platform</t>
        </is>
      </c>
      <c r="B10" s="9" t="inlineStr">
        <is>
          <t>M. Chen</t>
        </is>
      </c>
      <c r="C10" s="9" t="inlineStr">
        <is>
          <t>Qualify</t>
        </is>
      </c>
      <c r="D10" s="10" t="n">
        <v>195000</v>
      </c>
      <c r="E10" s="17" t="n">
        <v>0.2</v>
      </c>
      <c r="F10" s="11">
        <f>D10*E10</f>
        <v/>
      </c>
      <c r="G10" s="18" t="n">
        <v>46266</v>
      </c>
    </row>
    <row r="11">
      <c r="A11" s="15" t="inlineStr">
        <is>
          <t>Total</t>
        </is>
      </c>
      <c r="B11" s="21" t="n"/>
      <c r="C11" s="21" t="n"/>
      <c r="D11" s="16">
        <f>SUM(D4:D10)</f>
        <v/>
      </c>
      <c r="E11" s="22" t="n"/>
      <c r="F11" s="16">
        <f>SUM(F4:F10)</f>
        <v/>
      </c>
      <c r="G11" s="23" t="n"/>
    </row>
  </sheetData>
  <mergeCells count="1">
    <mergeCell ref="A1:F1"/>
  </mergeCells>
  <conditionalFormatting sqref="F4:F10">
    <cfRule type="dataBar" priority="1">
      <dataBar showValue="1">
        <cfvo type="min"/>
        <cfvo type="max"/>
        <color rgb="002E7D32"/>
      </dataBar>
    </cfRule>
  </conditionalFormatting>
  <conditionalFormatting sqref="E4:E10">
    <cfRule type="cellIs" priority="2" operator="greaterThanOrEqual" dxfId="0">
      <formula>0.6</formula>
    </cfRule>
  </conditionalFormatting>
  <dataValidations count="1">
    <dataValidation sqref="C4:C10" showDropDown="0" showInputMessage="0" showErrorMessage="0" allowBlank="1" errorTitle="Validation" error="Invalid value" type="list">
      <formula1>"Qualify,Proposal,Negotiate,Closed Won,Closed Lost"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AO4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FY2026 highlights</t>
        </is>
      </c>
    </row>
    <row r="3">
      <c r="A3" s="24" t="inlineStr">
        <is>
          <t>FY REVENUE</t>
        </is>
      </c>
      <c r="B3" s="24" t="inlineStr">
        <is>
          <t>GROSS MARGIN</t>
        </is>
      </c>
      <c r="C3" s="24" t="inlineStr">
        <is>
          <t>PIPELINE WEIGHTED</t>
        </is>
      </c>
      <c r="D3" s="24" t="inlineStr">
        <is>
          <t>HEADCOUNT</t>
        </is>
      </c>
    </row>
    <row r="4">
      <c r="A4" s="25" t="n">
        <v>2417000</v>
      </c>
      <c r="B4" s="26" t="n">
        <v>0.61</v>
      </c>
      <c r="C4" s="25" t="n">
        <v>612100</v>
      </c>
      <c r="D4" s="27" t="n">
        <v>48</v>
      </c>
    </row>
    <row r="5">
      <c r="A5" s="28" t="inlineStr">
        <is>
          <t>+12% YoY</t>
        </is>
      </c>
      <c r="B5" s="28" t="inlineStr">
        <is>
          <t>+2 pp</t>
        </is>
      </c>
      <c r="C5" s="28" t="inlineStr">
        <is>
          <t>7 deals</t>
        </is>
      </c>
      <c r="D5" s="28" t="inlineStr">
        <is>
          <t>+6 FTE</t>
        </is>
      </c>
    </row>
    <row r="7">
      <c r="AN7" t="inlineStr">
        <is>
          <t>Category</t>
        </is>
      </c>
      <c r="AO7" t="inlineStr">
        <is>
          <t>Revenue</t>
        </is>
      </c>
    </row>
    <row r="8">
      <c r="AN8" t="inlineStr">
        <is>
          <t>Q1</t>
        </is>
      </c>
      <c r="AO8" t="n">
        <v>667000</v>
      </c>
    </row>
    <row r="9">
      <c r="AN9" t="inlineStr">
        <is>
          <t>Q2</t>
        </is>
      </c>
      <c r="AO9" t="n">
        <v>724000</v>
      </c>
    </row>
    <row r="10">
      <c r="AN10" t="inlineStr">
        <is>
          <t>Q3</t>
        </is>
      </c>
      <c r="AO10" t="n">
        <v>803000</v>
      </c>
    </row>
    <row r="11">
      <c r="AN11" t="inlineStr">
        <is>
          <t>Q4</t>
        </is>
      </c>
      <c r="AO11" t="n">
        <v>912000</v>
      </c>
    </row>
    <row r="23">
      <c r="AN23" t="inlineStr">
        <is>
          <t>Category</t>
        </is>
      </c>
      <c r="AO23" t="inlineStr">
        <is>
          <t>FY mix</t>
        </is>
      </c>
    </row>
    <row r="24">
      <c r="AN24" t="inlineStr">
        <is>
          <t>Enterprise</t>
        </is>
      </c>
      <c r="AO24" t="n">
        <v>1450000</v>
      </c>
    </row>
    <row r="25">
      <c r="AN25" t="inlineStr">
        <is>
          <t>Mid-market</t>
        </is>
      </c>
      <c r="AO25" t="n">
        <v>1016000</v>
      </c>
    </row>
    <row r="26">
      <c r="AN26" t="inlineStr">
        <is>
          <t>SMB</t>
        </is>
      </c>
      <c r="AO26" t="n">
        <v>433000</v>
      </c>
    </row>
    <row r="27">
      <c r="AN27" t="inlineStr">
        <is>
          <t>Partner</t>
        </is>
      </c>
      <c r="AO27" t="n">
        <v>207000</v>
      </c>
    </row>
    <row r="39">
      <c r="A39" s="29" t="inlineStr">
        <is>
          <t>How to use this workbook</t>
        </is>
      </c>
    </row>
    <row r="40" ht="30" customHeight="1">
      <c r="A40" s="30" t="inlineStr">
        <is>
          <t>1) Edit yellow inputs on Assumptions. 2) P&amp;L and Pipeline FY/Weighted columns are live Excel formulas. 3) Open in Excel or LibreOffice to recalculate cached values. Figures are illustrative for the Generate Spreadsheets demo.</t>
        </is>
      </c>
    </row>
  </sheetData>
  <mergeCells count="3">
    <mergeCell ref="A1:D1"/>
    <mergeCell ref="A40:D40"/>
    <mergeCell ref="A39:D39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Northwind Finance</dc:creator>
  <dc:title>Northwind FY2026 Operating Plan</dc:title>
  <dcterms:created xsi:type="dcterms:W3CDTF">2026-07-19T06:43:59Z</dcterms:created>
  <dcterms:modified xsi:type="dcterms:W3CDTF">2026-07-19T06:43:59Z</dcterms:modified>
</cp:coreProperties>
</file>