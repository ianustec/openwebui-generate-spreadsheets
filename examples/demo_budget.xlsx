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&amp;L" sheetId="2" state="visible" r:id="rId2"/>
    <sheet name="By region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;($#,##0);&quot;-&quot;"/>
  </numFmts>
  <fonts count="12">
    <font>
      <name val="Calibri"/>
      <family val="2"/>
      <color theme="1"/>
      <sz val="11"/>
      <scheme val="minor"/>
    </font>
    <font>
      <name val="Calibri"/>
      <b val="1"/>
      <color rgb="001E2761"/>
      <sz val="16"/>
    </font>
    <font>
      <name val="Calibri"/>
      <i val="1"/>
      <color rgb="006B7280"/>
      <sz val="9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color rgb="001F2430"/>
      <sz val="11"/>
    </font>
    <font>
      <name val="Calibri"/>
      <color rgb="00000000"/>
      <sz val="11"/>
    </font>
    <font>
      <name val="Calibri"/>
      <b val="1"/>
      <color rgb="006B7280"/>
      <sz val="9"/>
    </font>
    <font>
      <name val="Calibri"/>
      <b val="1"/>
      <color rgb="001E2761"/>
      <sz val="18"/>
    </font>
    <font>
      <name val="Calibri"/>
      <color rgb="006B7280"/>
      <sz val="9"/>
    </font>
    <font>
      <name val="Calibri"/>
      <b val="1"/>
      <color rgb="001E40AF"/>
      <sz val="11"/>
    </font>
    <font>
      <name val="Calibri"/>
      <color rgb="001E40AF"/>
      <sz val="11"/>
    </font>
  </fonts>
  <fills count="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FF00"/>
      </patternFill>
    </fill>
    <fill>
      <patternFill patternType="solid">
        <fgColor rgb="00F3F6FA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5" fillId="0" borderId="2" applyAlignment="1" pivotButton="0" quotePrefix="0" xfId="0">
      <alignment horizontal="left" vertical="center" wrapText="1"/>
    </xf>
    <xf numFmtId="164" fontId="4" fillId="3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 wrapText="1"/>
    </xf>
    <xf numFmtId="49" fontId="5" fillId="0" borderId="2" applyAlignment="1" pivotButton="0" quotePrefix="0" xfId="0">
      <alignment horizontal="left" vertical="center" wrapText="1"/>
    </xf>
    <xf numFmtId="165" fontId="5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49" fontId="5" fillId="4" borderId="2" applyAlignment="1" pivotButton="0" quotePrefix="0" xfId="0">
      <alignment horizontal="left" vertical="center" wrapText="1"/>
    </xf>
    <xf numFmtId="165" fontId="5" fillId="4" borderId="2" applyAlignment="1" pivotButton="0" quotePrefix="0" xfId="0">
      <alignment horizontal="right" vertical="center"/>
    </xf>
    <xf numFmtId="165" fontId="6" fillId="4" borderId="2" applyAlignment="1" pivotButton="0" quotePrefix="0" xfId="0">
      <alignment horizontal="right" vertical="center"/>
    </xf>
    <xf numFmtId="0" fontId="7" fillId="4" borderId="2" pivotButton="0" quotePrefix="0" xfId="0"/>
    <xf numFmtId="165" fontId="8" fillId="4" borderId="2" pivotButton="0" quotePrefix="0" xfId="0"/>
    <xf numFmtId="164" fontId="8" fillId="4" borderId="2" pivotButton="0" quotePrefix="0" xfId="0"/>
    <xf numFmtId="0" fontId="9" fillId="4" borderId="2" pivotButton="0" quotePrefix="0" xfId="0"/>
    <xf numFmtId="0" fontId="0" fillId="4" borderId="2" pivotButton="0" quotePrefix="0" xfId="0"/>
    <xf numFmtId="0" fontId="10" fillId="5" borderId="0" pivotButton="0" quotePrefix="0" xfId="0"/>
    <xf numFmtId="0" fontId="1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'Charts'!B7</f>
            </strRef>
          </tx>
          <spPr>
            <a:ln>
              <a:prstDash val="solid"/>
            </a:ln>
          </spPr>
          <cat>
            <numRef>
              <f>'Charts'!$A$8:$A$10</f>
            </numRef>
          </cat>
          <val>
            <numRef>
              <f>'Charts'!$B$8:$B$10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mix by region (Q3)</a:t>
            </a:r>
          </a:p>
        </rich>
      </tx>
    </title>
    <plotArea>
      <doughnutChart>
        <varyColors val="1"/>
        <ser>
          <idx val="0"/>
          <order val="0"/>
          <tx>
            <strRef>
              <f>'Charts'!B12</f>
            </strRef>
          </tx>
          <spPr>
            <a:ln>
              <a:prstDash val="solid"/>
            </a:ln>
          </spPr>
          <cat>
            <numRef>
              <f>'Charts'!$A$13:$A$15</f>
            </numRef>
          </cat>
          <val>
            <numRef>
              <f>'Charts'!$B$13:$B$15</f>
            </numRef>
          </val>
        </ser>
        <dLbls>
          <showVal val="0"/>
          <showCatName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Assumptions</author>
  </authors>
  <commentList>
    <comment ref="B6" authorId="0" shapeId="0">
      <text>
        <t>Source: board pack Q2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7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nL" displayName="PnL" ref="A3:E8" headerRowCount="1">
  <autoFilter ref="A3:E8"/>
  <tableColumns count="5">
    <tableColumn id="1" name="Line item"/>
    <tableColumn id="2" name="Q1"/>
    <tableColumn id="3" name="Q2"/>
    <tableColumn id="4" name="Q3"/>
    <tableColumn id="5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y_region" displayName="By_region" ref="A3:D6" headerRowCount="1">
  <autoFilter ref="A3:D6"/>
  <tableColumns count="4">
    <tableColumn id="1" name="Region"/>
    <tableColumn id="2" name="Q1"/>
    <tableColumn id="3" name="Q2"/>
    <tableColumn id="4" name="Q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E2761"/>
    <outlinePr summaryBelow="1" summaryRight="1"/>
    <pageSetUpPr/>
  </sheetPr>
  <dimension ref="A1:D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40" customWidth="1" min="4" max="4"/>
  </cols>
  <sheetData>
    <row r="1">
      <c r="A1" s="1" t="inlineStr">
        <is>
          <t>Key assumptions</t>
        </is>
      </c>
    </row>
    <row r="3">
      <c r="A3" s="2" t="inlineStr">
        <is>
          <t>Yellow cells with blue text are inputs — edit these. Other sheets reference them with formulas.</t>
        </is>
      </c>
    </row>
    <row r="5">
      <c r="A5" s="3" t="inlineStr">
        <is>
          <t>Parameter</t>
        </is>
      </c>
      <c r="B5" s="3" t="inlineStr">
        <is>
          <t>Value</t>
        </is>
      </c>
      <c r="C5" s="3" t="inlineStr">
        <is>
          <t>Unit</t>
        </is>
      </c>
      <c r="D5" s="3" t="inlineStr">
        <is>
          <t>Notes</t>
        </is>
      </c>
    </row>
    <row r="6">
      <c r="A6" s="4" t="inlineStr">
        <is>
          <t>Revenue growth</t>
        </is>
      </c>
      <c r="B6" s="5" t="n">
        <v>0.08</v>
      </c>
      <c r="C6" s="4" t="inlineStr">
        <is>
          <t>%</t>
        </is>
      </c>
      <c r="D6" s="4" t="inlineStr">
        <is>
          <t>YoY</t>
        </is>
      </c>
    </row>
    <row r="7">
      <c r="A7" s="4" t="inlineStr">
        <is>
          <t>Gross margin target</t>
        </is>
      </c>
      <c r="B7" s="5" t="n">
        <v>0.58</v>
      </c>
      <c r="C7" s="4" t="inlineStr">
        <is>
          <t>%</t>
        </is>
      </c>
      <c r="D7" s="4" t="n"/>
    </row>
    <row r="8">
      <c r="A8" s="4" t="inlineStr">
        <is>
          <t>Tax rate</t>
        </is>
      </c>
      <c r="B8" s="5" t="n">
        <v>0.24</v>
      </c>
      <c r="C8" s="4" t="inlineStr">
        <is>
          <t>%</t>
        </is>
      </c>
      <c r="D8" s="4" t="n"/>
    </row>
    <row r="9">
      <c r="A9" s="4" t="inlineStr">
        <is>
          <t>Headcount</t>
        </is>
      </c>
      <c r="B9" s="6" t="n">
        <v>42</v>
      </c>
      <c r="C9" s="4" t="inlineStr">
        <is>
          <t>FTE</t>
        </is>
      </c>
      <c r="D9" s="4" t="n"/>
    </row>
  </sheetData>
  <mergeCells count="2">
    <mergeCell ref="A1:C1"/>
    <mergeCell ref="A3:D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E2761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Profit &amp; Loss — quarterly</t>
        </is>
      </c>
    </row>
    <row r="3" ht="22" customHeight="1">
      <c r="A3" s="7" t="inlineStr">
        <is>
          <t>Line item</t>
        </is>
      </c>
      <c r="B3" s="7" t="inlineStr">
        <is>
          <t>Q1</t>
        </is>
      </c>
      <c r="C3" s="7" t="inlineStr">
        <is>
          <t>Q2</t>
        </is>
      </c>
      <c r="D3" s="7" t="inlineStr">
        <is>
          <t>Q3</t>
        </is>
      </c>
      <c r="E3" s="7" t="inlineStr">
        <is>
          <t>Total</t>
        </is>
      </c>
    </row>
    <row r="4">
      <c r="A4" s="8" t="inlineStr">
        <is>
          <t>Revenue</t>
        </is>
      </c>
      <c r="B4" s="9" t="n">
        <v>120000</v>
      </c>
      <c r="C4" s="9" t="n">
        <v>135000</v>
      </c>
      <c r="D4" s="9" t="n">
        <v>148000</v>
      </c>
      <c r="E4" s="10">
        <f>SUM(B4:D4)</f>
        <v/>
      </c>
    </row>
    <row r="5">
      <c r="A5" s="11" t="inlineStr">
        <is>
          <t>COGS</t>
        </is>
      </c>
      <c r="B5" s="12" t="n">
        <v>48000</v>
      </c>
      <c r="C5" s="12" t="n">
        <v>52000</v>
      </c>
      <c r="D5" s="12" t="n">
        <v>56000</v>
      </c>
      <c r="E5" s="13">
        <f>SUM(B5:D5)</f>
        <v/>
      </c>
    </row>
    <row r="6">
      <c r="A6" s="8" t="inlineStr">
        <is>
          <t>Gross profit</t>
        </is>
      </c>
      <c r="B6" s="9" t="n">
        <v>72000</v>
      </c>
      <c r="C6" s="9" t="n">
        <v>83000</v>
      </c>
      <c r="D6" s="9" t="n">
        <v>92000</v>
      </c>
      <c r="E6" s="10">
        <f>SUM(B6:D6)</f>
        <v/>
      </c>
    </row>
    <row r="7">
      <c r="A7" s="11" t="inlineStr">
        <is>
          <t>OpEx</t>
        </is>
      </c>
      <c r="B7" s="12" t="n">
        <v>30000</v>
      </c>
      <c r="C7" s="12" t="n">
        <v>31000</v>
      </c>
      <c r="D7" s="12" t="n">
        <v>33000</v>
      </c>
      <c r="E7" s="13">
        <f>SUM(B7:D7)</f>
        <v/>
      </c>
    </row>
    <row r="8">
      <c r="A8" s="8" t="inlineStr">
        <is>
          <t>Operating income</t>
        </is>
      </c>
      <c r="B8" s="9" t="n">
        <v>42000</v>
      </c>
      <c r="C8" s="9" t="n">
        <v>52000</v>
      </c>
      <c r="D8" s="9" t="n">
        <v>59000</v>
      </c>
      <c r="E8" s="10">
        <f>SUM(B8:D8)</f>
        <v/>
      </c>
    </row>
  </sheetData>
  <mergeCells count="1">
    <mergeCell ref="A1:F1"/>
  </mergeCells>
  <conditionalFormatting sqref="B4:B8">
    <cfRule type="dataBar" priority="1">
      <dataBar showValue="1">
        <cfvo type="min"/>
        <cfvo type="max"/>
        <color rgb="002E5AAC"/>
      </dataBar>
    </cfRule>
  </conditionalFormatting>
  <conditionalFormatting sqref="C4:C8">
    <cfRule type="dataBar" priority="2">
      <dataBar showValue="1">
        <cfvo type="min"/>
        <cfvo type="max"/>
        <color rgb="002E5AAC"/>
      </dataBar>
    </cfRule>
  </conditionalFormatting>
  <conditionalFormatting sqref="D4:D8">
    <cfRule type="dataBar" priority="3">
      <dataBar showValue="1">
        <cfvo type="min"/>
        <cfvo type="max"/>
        <color rgb="002E5AAC"/>
      </dataBar>
    </cfRule>
  </conditionalFormatting>
  <dataValidations count="1">
    <dataValidation sqref="A4:A8" showDropDown="0" showInputMessage="0" showErrorMessage="0" allowBlank="1" errorTitle="Validation" error="Invalid value" type="list">
      <formula1>"Revenue,COGS,Gross profit,OpEx,Operating income,Other"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E2761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Revenue by region</t>
        </is>
      </c>
    </row>
    <row r="3" ht="22" customHeight="1">
      <c r="A3" s="7" t="inlineStr">
        <is>
          <t>Region</t>
        </is>
      </c>
      <c r="B3" s="7" t="inlineStr">
        <is>
          <t>Q1</t>
        </is>
      </c>
      <c r="C3" s="7" t="inlineStr">
        <is>
          <t>Q2</t>
        </is>
      </c>
      <c r="D3" s="7" t="inlineStr">
        <is>
          <t>Q3</t>
        </is>
      </c>
    </row>
    <row r="4">
      <c r="A4" s="8" t="inlineStr">
        <is>
          <t>EMEA</t>
        </is>
      </c>
      <c r="B4" s="9" t="n">
        <v>52000</v>
      </c>
      <c r="C4" s="9" t="n">
        <v>58000</v>
      </c>
      <c r="D4" s="9" t="n">
        <v>61000</v>
      </c>
    </row>
    <row r="5">
      <c r="A5" s="11" t="inlineStr">
        <is>
          <t>Americas</t>
        </is>
      </c>
      <c r="B5" s="12" t="n">
        <v>40000</v>
      </c>
      <c r="C5" s="12" t="n">
        <v>45000</v>
      </c>
      <c r="D5" s="12" t="n">
        <v>51000</v>
      </c>
    </row>
    <row r="6">
      <c r="A6" s="8" t="inlineStr">
        <is>
          <t>APAC</t>
        </is>
      </c>
      <c r="B6" s="9" t="n">
        <v>28000</v>
      </c>
      <c r="C6" s="9" t="n">
        <v>32000</v>
      </c>
      <c r="D6" s="9" t="n">
        <v>36000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E2761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Highlights</t>
        </is>
      </c>
    </row>
    <row r="3">
      <c r="A3" s="14" t="inlineStr">
        <is>
          <t>YTD REVENUE</t>
        </is>
      </c>
      <c r="B3" s="14" t="inlineStr">
        <is>
          <t>GROSS MARGIN</t>
        </is>
      </c>
      <c r="C3" s="14" t="inlineStr">
        <is>
          <t>OP. INCOME</t>
        </is>
      </c>
    </row>
    <row r="4">
      <c r="A4" s="15" t="n">
        <v>403000</v>
      </c>
      <c r="B4" s="16" t="n">
        <v>0.61</v>
      </c>
      <c r="C4" s="15" t="n">
        <v>153000</v>
      </c>
    </row>
    <row r="5">
      <c r="A5" s="17" t="inlineStr">
        <is>
          <t>+12% YoY</t>
        </is>
      </c>
      <c r="B5" s="17" t="inlineStr">
        <is>
          <t>+2 pp</t>
        </is>
      </c>
      <c r="C5" s="18" t="n"/>
    </row>
    <row r="7">
      <c r="A7" t="inlineStr">
        <is>
          <t>Category</t>
        </is>
      </c>
      <c r="B7" t="inlineStr">
        <is>
          <t>Value</t>
        </is>
      </c>
    </row>
    <row r="8">
      <c r="A8" t="inlineStr">
        <is>
          <t>Q1</t>
        </is>
      </c>
      <c r="B8" t="n">
        <v>120000</v>
      </c>
    </row>
    <row r="9">
      <c r="A9" t="inlineStr">
        <is>
          <t>Q2</t>
        </is>
      </c>
      <c r="B9" t="n">
        <v>135000</v>
      </c>
    </row>
    <row r="10">
      <c r="A10" t="inlineStr">
        <is>
          <t>Q3</t>
        </is>
      </c>
      <c r="B10" t="n">
        <v>148000</v>
      </c>
    </row>
    <row r="12">
      <c r="A12" t="inlineStr">
        <is>
          <t>Category</t>
        </is>
      </c>
      <c r="B12" t="inlineStr">
        <is>
          <t>Value</t>
        </is>
      </c>
    </row>
    <row r="13">
      <c r="A13" t="inlineStr">
        <is>
          <t>EMEA</t>
        </is>
      </c>
      <c r="B13" t="n">
        <v>61000</v>
      </c>
    </row>
    <row r="14">
      <c r="A14" t="inlineStr">
        <is>
          <t>Americas</t>
        </is>
      </c>
      <c r="B14" t="n">
        <v>51000</v>
      </c>
    </row>
    <row r="15">
      <c r="A15" t="inlineStr">
        <is>
          <t>APAC</t>
        </is>
      </c>
      <c r="B15" t="n">
        <v>36000</v>
      </c>
    </row>
    <row r="17">
      <c r="A17" s="19" t="inlineStr">
        <is>
          <t>How to use this workbook</t>
        </is>
      </c>
    </row>
    <row r="18" ht="30" customHeight="1">
      <c r="A18" s="20" t="inlineStr">
        <is>
          <t>Edit yellow input cells on the Assumptions sheet. P&amp;L totals are live Excel formulas (=SUM). Open in Excel or LibreOffice to recalculate.</t>
        </is>
      </c>
    </row>
  </sheetData>
  <mergeCells count="3">
    <mergeCell ref="A1:D1"/>
    <mergeCell ref="A17:D17"/>
    <mergeCell ref="A18:D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Northwind Finance</dc:creator>
  <dc:title>Q3 Budget Pack — FY 2026</dc:title>
  <dcterms:created xsi:type="dcterms:W3CDTF">2026-07-19T06:11:48Z</dcterms:created>
  <dcterms:modified xsi:type="dcterms:W3CDTF">2026-07-19T06:11:48Z</dcterms:modified>
</cp:coreProperties>
</file>